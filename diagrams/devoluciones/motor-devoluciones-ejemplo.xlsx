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Development\mockups\mockups-web-github\diagrams\devoluciones\"/>
    </mc:Choice>
  </mc:AlternateContent>
  <xr:revisionPtr revIDLastSave="0" documentId="13_ncr:1_{20A1A434-EF67-4575-A46F-609BC605981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0_Léeme" sheetId="1" r:id="rId1"/>
    <sheet name="1_refund_orders" sheetId="2" r:id="rId2"/>
    <sheet name="2_refund_order_details" sheetId="3" r:id="rId3"/>
    <sheet name="3_refund_approval_levels" sheetId="4" r:id="rId4"/>
    <sheet name="4_niveles_por_devolucion" sheetId="5" r:id="rId5"/>
    <sheet name="5_refund_workflow_actions" sheetId="6" r:id="rId6"/>
    <sheet name="6_refund_order_detail_decis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</calcChain>
</file>

<file path=xl/sharedStrings.xml><?xml version="1.0" encoding="utf-8"?>
<sst xmlns="http://schemas.openxmlformats.org/spreadsheetml/2006/main" count="304" uniqueCount="150">
  <si>
    <t>ESCENARIO DE ESTE EJEMPLO</t>
  </si>
  <si>
    <t/>
  </si>
  <si>
    <t>25/08/2026 (ayer): entran 5 devoluciones (9001–9005). La config vigente ese día es:</t>
  </si>
  <si>
    <t xml:space="preserve">  Nivel 1 (Supervisor)     desde Bs 0</t>
  </si>
  <si>
    <t xml:space="preserve">  Nivel 2 (Jefe de Ventas) desde Bs 500</t>
  </si>
  <si>
    <t xml:space="preserve">  Nivel 3 (Gerencia)       desde Bs 1.000</t>
  </si>
  <si>
    <t>26/08/2026 (hoy): editan la config — el Nivel 2 pasa de 'desde 500' a 'desde 700'.</t>
  </si>
  <si>
    <t xml:space="preserve">  Eso, en la práctica, es lo que hace que el Nivel 1 'trabaje hasta 700' en vez de hasta 500:</t>
  </si>
  <si>
    <t xml:space="preserve">  el techo de un nivel siempre es el piso del siguiente, nunca un campo propio.</t>
  </si>
  <si>
    <t>Ese mismo día entra una devolución nueva, la 9006, ya bajo la config nueva.</t>
  </si>
  <si>
    <t>La pregunta que esto responde: ¿el cambio de hoy rompe el historial de las 5 de ayer?</t>
  </si>
  <si>
    <t>Respuesta corta: no. Mirá la hoja '4_niveles_por_devolucion' — cada devolución,</t>
  </si>
  <si>
    <t>al arrancar, se llevó su propia copia congelada de la escalera. La 9006 se llevó la</t>
  </si>
  <si>
    <t>nueva (700); las 9001–9005 se quedaron con la vieja (500), para siempre.</t>
  </si>
  <si>
    <t>QUÉ ES CADA TABLA</t>
  </si>
  <si>
    <t>tabla</t>
  </si>
  <si>
    <t>para_que_sirve</t>
  </si>
  <si>
    <t>cuando_se_usa</t>
  </si>
  <si>
    <t>quien_la_toca</t>
  </si>
  <si>
    <t>1_refund_orders</t>
  </si>
  <si>
    <t>La cabecera. El estado ACTUAL de la devolución completa: cliente, total, en qué nivel está esperando.</t>
  </si>
  <si>
    <t>Se lee siempre que alguien abre o lista devoluciones. Se actualiza cada vez que un nivel decide algo.</t>
  </si>
  <si>
    <t>El vendedor (al crear), el motor de aprobación (al avanzar de nivel).</t>
  </si>
  <si>
    <t>2_refund_order_details</t>
  </si>
  <si>
    <t>Las líneas: qué producto, cuánto se reclamó, y el veredicto ACTUAL (el último) de cada ítem.</t>
  </si>
  <si>
    <t>Se lee al pintar el detalle o la grilla de aprobación. Solo guarda el último veredicto, no el historial.</t>
  </si>
  <si>
    <t>El vendedor (al crear/editar), cada nivel que decide (al aprobar/recortar/rechazar ítems).</t>
  </si>
  <si>
    <t>3_refund_approval_levels</t>
  </si>
  <si>
    <t>La REGLA vigente. No pertenece a ninguna devolución — es la config compartida: cuántos niveles hay, desde qué monto arranca cada uno, quién lo resuelve, qué pasa si rechaza.</t>
  </si>
  <si>
    <t>Se lee en dos momentos: cuando una devolución arranca (o se reabre), para armar su escalera. El resto del tiempo nadie la necesita.</t>
  </si>
  <si>
    <t>Un administrador, cuando cambia la política de aprobación. Editarla NO reescribe nada de lo que ya pasó.</t>
  </si>
  <si>
    <t>4_refund_workflow_instance_levels</t>
  </si>
  <si>
    <t>La FOTO. Una copia congelada de la escalera, tomada en el instante exacto en que ESA devolución arrancó (o se reabrió). Es la tabla que responde 'bajo qué reglas corrió esto'.</t>
  </si>
  <si>
    <t>Se crea una fila por cada nivel del template (incluso los que se saltan) al arrancar. Se actualiza el estado (pendiente → en curso → aprobado/rechazado/saltado) a medida que avanza.</t>
  </si>
  <si>
    <t>El motor de aprobación, nunca a mano. Es lo que hace posible editar la regla #3 sin romper el pasado.</t>
  </si>
  <si>
    <t>5_refund_workflow_actions</t>
  </si>
  <si>
    <t>La bitácora. Un renglón por cada vez que alguien aprobó, rechazó, comentó o reabrió. Nunca se edita, solo se agrega (append-only).</t>
  </si>
  <si>
    <t>Se inserta una fila cada vez que un aprobador toma una decisión. Es lo que arma el 'Histórico' que ves en la pantalla de detalle.</t>
  </si>
  <si>
    <t>El motor de aprobación, al registrar cada decisión.</t>
  </si>
  <si>
    <t>6_refund_order_detail_decisions</t>
  </si>
  <si>
    <t>El detalle ítem por ítem de UNA acción puntual de la tabla #5. 'En esta decisión, este producto quedó aprobado en 3 de 5 unidades'.</t>
  </si>
  <si>
    <t>Se inserta junto con cada fila de #5. Sin esto, al reabrir una devolución y volver los ítems a pendiente, se perdería para siempre qué se había decidido antes.</t>
  </si>
  <si>
    <t>El motor de aprobación, en el mismo momento que escribe la acción en #5.</t>
  </si>
  <si>
    <t>id</t>
  </si>
  <si>
    <t>cliente</t>
  </si>
  <si>
    <t>creado</t>
  </si>
  <si>
    <t>total_reclamado_bs</t>
  </si>
  <si>
    <t>monto_vigente_bs</t>
  </si>
  <si>
    <t>status</t>
  </si>
  <si>
    <t>current_level_order</t>
  </si>
  <si>
    <t>nota</t>
  </si>
  <si>
    <t>Bodega Trinidad</t>
  </si>
  <si>
    <t>25/08/2026 09:00</t>
  </si>
  <si>
    <t>APPROVED</t>
  </si>
  <si>
    <t>cierra en Nivel 1</t>
  </si>
  <si>
    <t>Comercial Pompeya</t>
  </si>
  <si>
    <t>25/08/2026 09:30</t>
  </si>
  <si>
    <t>PARTIALLY_APPROVED</t>
  </si>
  <si>
    <t>Nivel 1 recorta a 420 → cierra ahí (420 ≤ 500)</t>
  </si>
  <si>
    <t>Almacén Beni</t>
  </si>
  <si>
    <t>25/08/2026 10:00</t>
  </si>
  <si>
    <t>Nivel 1 aprueba completo → sube a Nivel 2 → cierra ahí</t>
  </si>
  <si>
    <t>Super Pompeya</t>
  </si>
  <si>
    <t>25/08/2026 10:30</t>
  </si>
  <si>
    <t>IN_APPROVAL</t>
  </si>
  <si>
    <t>sigue subiendo, hoy está esperando en Nivel 3</t>
  </si>
  <si>
    <t>Kiosco La Esquina</t>
  </si>
  <si>
    <t>25/08/2026 11:00</t>
  </si>
  <si>
    <t>RETURNED</t>
  </si>
  <si>
    <t>Nivel 1 rechazó, vuelve al vendedor</t>
  </si>
  <si>
    <t>Bodega Santa Cruz</t>
  </si>
  <si>
    <t>26/08/2026 08:00</t>
  </si>
  <si>
    <t>YA bajo la config nueva: 650 ≤ 700 → ni hace falta recortar</t>
  </si>
  <si>
    <t>refund_order_id</t>
  </si>
  <si>
    <t>product_name</t>
  </si>
  <si>
    <t>cantidad_bs</t>
  </si>
  <si>
    <t>item_status</t>
  </si>
  <si>
    <t>approved_bs</t>
  </si>
  <si>
    <t>Aceite de Oliva Kris 250 ml</t>
  </si>
  <si>
    <t>Mayonesa Kris Original 380 gr</t>
  </si>
  <si>
    <t>Cereal Kris Choco Explosión</t>
  </si>
  <si>
    <t>Gelatina Kris Cereza 230 gr</t>
  </si>
  <si>
    <t>Frussion Durazno 300 ml</t>
  </si>
  <si>
    <t>Refresco Kris Piña 20 gr</t>
  </si>
  <si>
    <t>PENDING</t>
  </si>
  <si>
    <t>Frussion Sin Azúcar 1 L</t>
  </si>
  <si>
    <t>vigente</t>
  </si>
  <si>
    <t>level_order</t>
  </si>
  <si>
    <t>nombre</t>
  </si>
  <si>
    <t>role_code</t>
  </si>
  <si>
    <t>min_amount_bs</t>
  </si>
  <si>
    <t>techo_efectivo_bs</t>
  </si>
  <si>
    <t>approval_policy</t>
  </si>
  <si>
    <t>on_reject</t>
  </si>
  <si>
    <t>sla_hours</t>
  </si>
  <si>
    <t>hasta 25/08/2026 23:59</t>
  </si>
  <si>
    <t>Supervisor</t>
  </si>
  <si>
    <t>supervisor</t>
  </si>
  <si>
    <t>ANY</t>
  </si>
  <si>
    <t>RETURN_INITIATOR</t>
  </si>
  <si>
    <t>Jefe de Ventas</t>
  </si>
  <si>
    <t>administrador</t>
  </si>
  <si>
    <t>TERMINATE</t>
  </si>
  <si>
    <t>Gerencia</t>
  </si>
  <si>
    <t>gerente</t>
  </si>
  <si>
    <t>(sin techo)</t>
  </si>
  <si>
    <t>desde 26/08/2026 00:00 ←── ÚNICA fila que cambió</t>
  </si>
  <si>
    <t>attempt</t>
  </si>
  <si>
    <t>min_amount_congelado_bs</t>
  </si>
  <si>
    <t>iniciado</t>
  </si>
  <si>
    <t>cerrado</t>
  </si>
  <si>
    <t>25/08 09:00</t>
  </si>
  <si>
    <t>25/08 09:15</t>
  </si>
  <si>
    <t>SKIPPED</t>
  </si>
  <si>
    <t>25/08 09:30</t>
  </si>
  <si>
    <t>25/08 09:45</t>
  </si>
  <si>
    <t>25/08 10:00</t>
  </si>
  <si>
    <t>25/08 10:15</t>
  </si>
  <si>
    <t>25/08 10:40</t>
  </si>
  <si>
    <t>25/08 10:30</t>
  </si>
  <si>
    <t>25/08 10:45</t>
  </si>
  <si>
    <t>25/08 11:10</t>
  </si>
  <si>
    <t>IN_PROGRESS</t>
  </si>
  <si>
    <t>— (hoy sigue esperando)</t>
  </si>
  <si>
    <t>25/08 11:00</t>
  </si>
  <si>
    <t>25/08 11:20</t>
  </si>
  <si>
    <t>26/08 08:00</t>
  </si>
  <si>
    <t>26/08 08:10</t>
  </si>
  <si>
    <t>700  ←── distinto de las de arriba</t>
  </si>
  <si>
    <t>action</t>
  </si>
  <si>
    <t>actor</t>
  </si>
  <si>
    <t>actor_role</t>
  </si>
  <si>
    <t>at</t>
  </si>
  <si>
    <t>amount_before_bs</t>
  </si>
  <si>
    <t>amount_after_bs</t>
  </si>
  <si>
    <t>reject_reason</t>
  </si>
  <si>
    <t>APPROVE</t>
  </si>
  <si>
    <t>Sergio Peña Montero</t>
  </si>
  <si>
    <t>Daniel Durán Melgar</t>
  </si>
  <si>
    <t>— (todavía nadie decidió)</t>
  </si>
  <si>
    <t>RETURN</t>
  </si>
  <si>
    <t>Cliente no presentó factura del lote reclamado</t>
  </si>
  <si>
    <t>pertenece_a_la_accion</t>
  </si>
  <si>
    <t>9001 · Nivel 1 · 25/08 09:15</t>
  </si>
  <si>
    <t>9002 · Nivel 1 · 25/08 09:45</t>
  </si>
  <si>
    <t>(recorte parcial: se aprobaron 120 de 350)</t>
  </si>
  <si>
    <t>9003 · Nivel 1 · 25/08 10:15</t>
  </si>
  <si>
    <t>9003 · Nivel 2 · 25/08 10:40</t>
  </si>
  <si>
    <t>(Nivel 2 lo revisa de nuevo y lo deja igual)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</si>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</sst>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2" workbookViewId="0">
      <selection activeCell="B25" sqref="B25"/>
    </sheetView>
  </sheetViews>
  <sheetFormatPr baseColWidth="10" defaultRowHeight="14.6" x14ac:dyDescent="0.45"/>
  <cols>
    <col min="1" max="1" width="34.85546875" customWidth="1"/>
    <col min="2" max="2" width="146.35546875" bestFit="1" customWidth="1"/>
    <col min="3" max="3" width="149.0703125" bestFit="1" customWidth="1"/>
    <col min="4" max="4" width="87.140625" bestFit="1" customWidth="1"/>
  </cols>
  <sheetData>
    <row r="1" spans="1:1" ht="15.9" x14ac:dyDescent="0.45">
      <c r="A1" t="s">
        <v>0</v>
      </c>
    </row>
    <row r="2" spans="1:1" ht="15.9" x14ac:dyDescent="0.45">
      <c r="A2" t="s">
        <v>1</v>
      </c>
    </row>
    <row r="3" spans="1:1" ht="15.9" x14ac:dyDescent="0.45">
      <c r="A3" t="s">
        <v>2</v>
      </c>
    </row>
    <row r="4" spans="1:1" ht="15.9" x14ac:dyDescent="0.45">
      <c r="A4" t="s">
        <v>3</v>
      </c>
    </row>
    <row r="5" spans="1:1" ht="15.9" x14ac:dyDescent="0.45">
      <c r="A5" t="s">
        <v>4</v>
      </c>
    </row>
    <row r="6" spans="1:1" ht="15.9" x14ac:dyDescent="0.45">
      <c r="A6" t="s">
        <v>5</v>
      </c>
    </row>
    <row r="7" spans="1:1" ht="15.9" x14ac:dyDescent="0.45">
      <c r="A7" t="s">
        <v>1</v>
      </c>
    </row>
    <row r="8" spans="1:1" ht="15.9" x14ac:dyDescent="0.45">
      <c r="A8" t="s">
        <v>6</v>
      </c>
    </row>
    <row r="9" spans="1:1" ht="15.9" x14ac:dyDescent="0.45">
      <c r="A9" t="s">
        <v>7</v>
      </c>
    </row>
    <row r="10" spans="1:1" ht="15.9" x14ac:dyDescent="0.45">
      <c r="A10" t="s">
        <v>8</v>
      </c>
    </row>
    <row r="11" spans="1:1" ht="15.9" x14ac:dyDescent="0.45">
      <c r="A11" t="s">
        <v>1</v>
      </c>
    </row>
    <row r="12" spans="1:1" ht="15.9" x14ac:dyDescent="0.45">
      <c r="A12" t="s">
        <v>9</v>
      </c>
    </row>
    <row r="13" spans="1:1" ht="15.9" x14ac:dyDescent="0.45">
      <c r="A13" t="s">
        <v>1</v>
      </c>
    </row>
    <row r="14" spans="1:1" ht="15.9" x14ac:dyDescent="0.45">
      <c r="A14" t="s">
        <v>10</v>
      </c>
    </row>
    <row r="15" spans="1:1" ht="15.9" x14ac:dyDescent="0.45">
      <c r="A15" t="s">
        <v>11</v>
      </c>
    </row>
    <row r="16" spans="1:1" ht="15.9" x14ac:dyDescent="0.45">
      <c r="A16" t="s">
        <v>12</v>
      </c>
    </row>
    <row r="17" spans="1:4" ht="15.9" x14ac:dyDescent="0.45">
      <c r="A17" t="s">
        <v>13</v>
      </c>
    </row>
    <row r="18" spans="1:4" ht="15.9" x14ac:dyDescent="0.45">
      <c r="A18" t="s">
        <v>1</v>
      </c>
    </row>
    <row r="19" spans="1:4" ht="15.9" x14ac:dyDescent="0.45">
      <c r="A19" t="s">
        <v>1</v>
      </c>
    </row>
    <row r="20" spans="1:4" ht="15.9" x14ac:dyDescent="0.45">
      <c r="A20" t="s">
        <v>14</v>
      </c>
    </row>
    <row r="21" spans="1:4" ht="15.9" x14ac:dyDescent="0.45">
      <c r="A21" t="s">
        <v>1</v>
      </c>
    </row>
    <row r="22" spans="1:4" ht="15.9" x14ac:dyDescent="0.45">
      <c r="A22" t="s">
        <v>15</v>
      </c>
      <c r="B22" t="s">
        <v>16</v>
      </c>
      <c r="C22" t="s">
        <v>17</v>
      </c>
      <c r="D22" t="s">
        <v>18</v>
      </c>
    </row>
    <row r="23" spans="1:4" ht="15.9" x14ac:dyDescent="0.45">
      <c r="A23" t="s">
        <v>19</v>
      </c>
      <c r="B23" t="s">
        <v>20</v>
      </c>
      <c r="C23" t="s">
        <v>21</v>
      </c>
      <c r="D23" t="s">
        <v>22</v>
      </c>
    </row>
    <row r="24" spans="1:4" ht="15.9" x14ac:dyDescent="0.45">
      <c r="A24" t="s">
        <v>23</v>
      </c>
      <c r="B24" t="s">
        <v>24</v>
      </c>
      <c r="C24" t="s">
        <v>25</v>
      </c>
      <c r="D24" t="s">
        <v>26</v>
      </c>
    </row>
    <row r="25" spans="1:4" ht="15.9" x14ac:dyDescent="0.45">
      <c r="A25" t="s">
        <v>27</v>
      </c>
      <c r="B25" t="s">
        <v>28</v>
      </c>
      <c r="C25" t="s">
        <v>29</v>
      </c>
      <c r="D25" t="s">
        <v>30</v>
      </c>
    </row>
    <row r="26" spans="1:4" ht="15.9" x14ac:dyDescent="0.45">
      <c r="A26" s="4" t="s">
        <v>31</v>
      </c>
      <c r="B26" s="4" t="s">
        <v>32</v>
      </c>
      <c r="C26" s="4" t="s">
        <v>33</v>
      </c>
      <c r="D26" s="4" t="s">
        <v>34</v>
      </c>
    </row>
    <row r="27" spans="1:4" ht="15.9" x14ac:dyDescent="0.45">
      <c r="A27" s="4" t="s">
        <v>35</v>
      </c>
      <c r="B27" s="4" t="s">
        <v>36</v>
      </c>
      <c r="C27" s="4" t="s">
        <v>37</v>
      </c>
      <c r="D27" s="4" t="s">
        <v>38</v>
      </c>
    </row>
    <row r="28" spans="1:4" ht="15.9" x14ac:dyDescent="0.45">
      <c r="A28" s="4" t="s">
        <v>39</v>
      </c>
      <c r="B28" s="4" t="s">
        <v>40</v>
      </c>
      <c r="C28" s="4" t="s">
        <v>41</v>
      </c>
      <c r="D28" s="4" t="s">
        <v>42</v>
      </c>
    </row>
  </sheetData>
  <pageMargins left="0.7" right="0.7" top="0.75" bottom="0.75" header="0.3" footer="0.3"/>
  <ignoredErrors>
    <ignoredError sqref="A1:D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A2" sqref="A2"/>
    </sheetView>
  </sheetViews>
  <sheetFormatPr baseColWidth="10" defaultRowHeight="14.6" x14ac:dyDescent="0.45"/>
  <cols>
    <col min="1" max="1" width="8.85546875" customWidth="1"/>
    <col min="2" max="2" width="22.85546875" customWidth="1"/>
    <col min="3" max="3" width="18.85546875" customWidth="1"/>
    <col min="4" max="5" width="16.85546875" customWidth="1"/>
    <col min="6" max="7" width="20.85546875" customWidth="1"/>
    <col min="8" max="8" width="46.85546875" customWidth="1"/>
  </cols>
  <sheetData>
    <row r="1" spans="1:8" ht="15.9" x14ac:dyDescent="0.4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ht="15.9" x14ac:dyDescent="0.45">
      <c r="A2">
        <v>9001</v>
      </c>
      <c r="B2" t="s">
        <v>51</v>
      </c>
      <c r="C2" t="s">
        <v>52</v>
      </c>
      <c r="D2">
        <v>300</v>
      </c>
      <c r="E2">
        <v>300</v>
      </c>
      <c r="F2" t="s">
        <v>53</v>
      </c>
      <c r="G2" t="s">
        <v>1</v>
      </c>
      <c r="H2" t="s">
        <v>54</v>
      </c>
    </row>
    <row r="3" spans="1:8" ht="15.9" x14ac:dyDescent="0.45">
      <c r="A3">
        <v>9002</v>
      </c>
      <c r="B3" t="s">
        <v>55</v>
      </c>
      <c r="C3" t="s">
        <v>56</v>
      </c>
      <c r="D3">
        <v>650</v>
      </c>
      <c r="E3">
        <v>420</v>
      </c>
      <c r="F3" t="s">
        <v>57</v>
      </c>
      <c r="G3" t="s">
        <v>1</v>
      </c>
      <c r="H3" t="s">
        <v>58</v>
      </c>
    </row>
    <row r="4" spans="1:8" ht="15.9" x14ac:dyDescent="0.45">
      <c r="A4">
        <v>9003</v>
      </c>
      <c r="B4" t="s">
        <v>59</v>
      </c>
      <c r="C4" t="s">
        <v>60</v>
      </c>
      <c r="D4">
        <v>800</v>
      </c>
      <c r="E4">
        <v>800</v>
      </c>
      <c r="F4" t="s">
        <v>53</v>
      </c>
      <c r="G4" t="s">
        <v>1</v>
      </c>
      <c r="H4" t="s">
        <v>61</v>
      </c>
    </row>
    <row r="5" spans="1:8" ht="15.9" x14ac:dyDescent="0.45">
      <c r="A5">
        <v>9004</v>
      </c>
      <c r="B5" t="s">
        <v>62</v>
      </c>
      <c r="C5" t="s">
        <v>63</v>
      </c>
      <c r="D5">
        <v>1500</v>
      </c>
      <c r="E5">
        <v>1500</v>
      </c>
      <c r="F5" t="s">
        <v>64</v>
      </c>
      <c r="G5">
        <v>3</v>
      </c>
      <c r="H5" t="s">
        <v>65</v>
      </c>
    </row>
    <row r="6" spans="1:8" ht="15.9" x14ac:dyDescent="0.45">
      <c r="A6">
        <v>9005</v>
      </c>
      <c r="B6" t="s">
        <v>66</v>
      </c>
      <c r="C6" t="s">
        <v>67</v>
      </c>
      <c r="D6">
        <v>550</v>
      </c>
      <c r="E6" t="s">
        <v>1</v>
      </c>
      <c r="F6" t="s">
        <v>68</v>
      </c>
      <c r="G6">
        <v>1</v>
      </c>
      <c r="H6" t="s">
        <v>69</v>
      </c>
    </row>
    <row r="7" spans="1:8" ht="15.9" x14ac:dyDescent="0.45">
      <c r="A7">
        <v>9006</v>
      </c>
      <c r="B7" t="s">
        <v>70</v>
      </c>
      <c r="C7" t="s">
        <v>71</v>
      </c>
      <c r="D7">
        <v>650</v>
      </c>
      <c r="E7">
        <v>650</v>
      </c>
      <c r="F7" t="s">
        <v>53</v>
      </c>
      <c r="G7" t="s">
        <v>1</v>
      </c>
      <c r="H7" t="s">
        <v>72</v>
      </c>
    </row>
    <row r="18" spans="6:6" x14ac:dyDescent="0.45">
      <c r="F18">
        <f>+'2_refund_order_details'!F2</f>
        <v>0</v>
      </c>
    </row>
  </sheetData>
  <pageMargins left="0.7" right="0.7" top="0.75" bottom="0.75" header="0.3" footer="0.3"/>
  <ignoredErrors>
    <ignoredError sqref="A1:H1 A3:H7 E2:G2 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D2" sqref="D2"/>
    </sheetView>
  </sheetViews>
  <sheetFormatPr baseColWidth="10" defaultRowHeight="14.6" x14ac:dyDescent="0.45"/>
  <cols>
    <col min="1" max="1" width="16.85546875" customWidth="1"/>
    <col min="2" max="2" width="30.85546875" customWidth="1"/>
    <col min="3" max="3" width="12.85546875" customWidth="1"/>
    <col min="4" max="4" width="14.85546875" customWidth="1"/>
    <col min="5" max="5" width="12.85546875" customWidth="1"/>
  </cols>
  <sheetData>
    <row r="1" spans="1:5" ht="15.9" x14ac:dyDescent="0.4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ht="15.9" x14ac:dyDescent="0.45">
      <c r="A2">
        <v>9001</v>
      </c>
      <c r="B2" t="s">
        <v>78</v>
      </c>
      <c r="C2">
        <v>300</v>
      </c>
      <c r="D2" t="s">
        <v>53</v>
      </c>
      <c r="E2">
        <v>300</v>
      </c>
    </row>
    <row r="3" spans="1:5" ht="15.9" x14ac:dyDescent="0.45">
      <c r="A3">
        <v>9002</v>
      </c>
      <c r="B3" t="s">
        <v>79</v>
      </c>
      <c r="C3">
        <v>300</v>
      </c>
      <c r="D3" t="s">
        <v>53</v>
      </c>
      <c r="E3">
        <v>300</v>
      </c>
    </row>
    <row r="4" spans="1:5" ht="15.9" x14ac:dyDescent="0.45">
      <c r="A4">
        <v>9002</v>
      </c>
      <c r="B4" t="s">
        <v>80</v>
      </c>
      <c r="C4">
        <v>350</v>
      </c>
      <c r="D4" t="s">
        <v>53</v>
      </c>
      <c r="E4">
        <v>120</v>
      </c>
    </row>
    <row r="5" spans="1:5" ht="15.9" x14ac:dyDescent="0.45">
      <c r="A5">
        <v>9003</v>
      </c>
      <c r="B5" t="s">
        <v>81</v>
      </c>
      <c r="C5">
        <v>800</v>
      </c>
      <c r="D5" t="s">
        <v>53</v>
      </c>
      <c r="E5">
        <v>800</v>
      </c>
    </row>
    <row r="6" spans="1:5" ht="15.9" x14ac:dyDescent="0.45">
      <c r="A6">
        <v>9004</v>
      </c>
      <c r="B6" t="s">
        <v>82</v>
      </c>
      <c r="C6">
        <v>1500</v>
      </c>
      <c r="D6" t="s">
        <v>53</v>
      </c>
      <c r="E6">
        <v>1500</v>
      </c>
    </row>
    <row r="7" spans="1:5" ht="15.9" x14ac:dyDescent="0.45">
      <c r="A7">
        <v>9005</v>
      </c>
      <c r="B7" t="s">
        <v>83</v>
      </c>
      <c r="C7">
        <v>550</v>
      </c>
      <c r="D7" t="s">
        <v>84</v>
      </c>
      <c r="E7" t="s">
        <v>1</v>
      </c>
    </row>
    <row r="8" spans="1:5" ht="15.9" x14ac:dyDescent="0.45">
      <c r="A8">
        <v>9006</v>
      </c>
      <c r="B8" t="s">
        <v>85</v>
      </c>
      <c r="C8">
        <v>650</v>
      </c>
      <c r="D8" t="s">
        <v>53</v>
      </c>
      <c r="E8">
        <v>650</v>
      </c>
    </row>
  </sheetData>
  <pageMargins left="0.7" right="0.7" top="0.75" bottom="0.75" header="0.3" footer="0.3"/>
  <ignoredErrors>
    <ignoredError sqref="A1:E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selection activeCell="I8" sqref="I8"/>
    </sheetView>
  </sheetViews>
  <sheetFormatPr baseColWidth="10" defaultRowHeight="14.6" x14ac:dyDescent="0.45"/>
  <cols>
    <col min="1" max="1" width="43.85546875" bestFit="1" customWidth="1"/>
    <col min="2" max="2" width="12.85546875" customWidth="1"/>
    <col min="3" max="3" width="16.85546875" customWidth="1"/>
    <col min="4" max="5" width="14.85546875" customWidth="1"/>
    <col min="6" max="8" width="16.85546875" customWidth="1"/>
    <col min="9" max="9" width="10.85546875" customWidth="1"/>
  </cols>
  <sheetData>
    <row r="1" spans="1:9" ht="15.9" x14ac:dyDescent="0.4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s="2" t="s">
        <v>93</v>
      </c>
      <c r="I1" s="1" t="s">
        <v>94</v>
      </c>
    </row>
    <row r="2" spans="1:9" ht="15.9" x14ac:dyDescent="0.45">
      <c r="A2" t="s">
        <v>95</v>
      </c>
      <c r="B2">
        <v>1</v>
      </c>
      <c r="C2" t="s">
        <v>96</v>
      </c>
      <c r="D2" t="s">
        <v>97</v>
      </c>
      <c r="E2">
        <v>0</v>
      </c>
      <c r="F2">
        <v>500</v>
      </c>
      <c r="G2" t="s">
        <v>98</v>
      </c>
      <c r="H2" s="2" t="s">
        <v>99</v>
      </c>
      <c r="I2" s="1">
        <v>24</v>
      </c>
    </row>
    <row r="3" spans="1:9" ht="15.9" x14ac:dyDescent="0.45">
      <c r="A3" t="s">
        <v>95</v>
      </c>
      <c r="B3">
        <v>2</v>
      </c>
      <c r="C3" t="s">
        <v>100</v>
      </c>
      <c r="D3" t="s">
        <v>101</v>
      </c>
      <c r="E3">
        <v>500</v>
      </c>
      <c r="F3">
        <v>1000</v>
      </c>
      <c r="G3" t="s">
        <v>98</v>
      </c>
      <c r="H3" s="2" t="s">
        <v>102</v>
      </c>
      <c r="I3" s="1" t="s">
        <v>1</v>
      </c>
    </row>
    <row r="4" spans="1:9" ht="15.9" x14ac:dyDescent="0.45">
      <c r="A4" t="s">
        <v>95</v>
      </c>
      <c r="B4">
        <v>3</v>
      </c>
      <c r="C4" t="s">
        <v>103</v>
      </c>
      <c r="D4" t="s">
        <v>104</v>
      </c>
      <c r="E4">
        <v>1000</v>
      </c>
      <c r="F4" t="s">
        <v>105</v>
      </c>
      <c r="G4" t="s">
        <v>98</v>
      </c>
      <c r="H4" s="2" t="s">
        <v>102</v>
      </c>
      <c r="I4" s="1">
        <v>48</v>
      </c>
    </row>
    <row r="5" spans="1:9" ht="15.9" x14ac:dyDescent="0.4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1:9" ht="15.9" x14ac:dyDescent="0.45">
      <c r="A6" t="s">
        <v>106</v>
      </c>
      <c r="B6">
        <v>1</v>
      </c>
      <c r="C6" t="s">
        <v>96</v>
      </c>
      <c r="D6" t="s">
        <v>97</v>
      </c>
      <c r="E6">
        <v>0</v>
      </c>
      <c r="F6">
        <v>700</v>
      </c>
      <c r="G6" t="s">
        <v>98</v>
      </c>
      <c r="H6" t="s">
        <v>99</v>
      </c>
      <c r="I6">
        <v>24</v>
      </c>
    </row>
    <row r="7" spans="1:9" ht="15.9" x14ac:dyDescent="0.45">
      <c r="A7" t="s">
        <v>106</v>
      </c>
      <c r="B7">
        <v>2</v>
      </c>
      <c r="C7" t="s">
        <v>100</v>
      </c>
      <c r="D7" t="s">
        <v>101</v>
      </c>
      <c r="E7">
        <v>700</v>
      </c>
      <c r="F7">
        <v>1000</v>
      </c>
      <c r="G7" t="s">
        <v>98</v>
      </c>
      <c r="H7" t="s">
        <v>102</v>
      </c>
      <c r="I7" t="s">
        <v>1</v>
      </c>
    </row>
    <row r="8" spans="1:9" ht="15.9" x14ac:dyDescent="0.45">
      <c r="A8" t="s">
        <v>106</v>
      </c>
      <c r="B8">
        <v>3</v>
      </c>
      <c r="C8" t="s">
        <v>103</v>
      </c>
      <c r="D8" t="s">
        <v>104</v>
      </c>
      <c r="E8">
        <v>1000</v>
      </c>
      <c r="F8" t="s">
        <v>105</v>
      </c>
      <c r="G8" t="s">
        <v>98</v>
      </c>
      <c r="H8" t="s">
        <v>102</v>
      </c>
      <c r="I8">
        <v>48</v>
      </c>
    </row>
  </sheetData>
  <pageMargins left="0.7" right="0.7" top="0.75" bottom="0.75" header="0.3" footer="0.3"/>
  <ignoredErrors>
    <ignoredError sqref="A1:I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E4" sqref="E4"/>
    </sheetView>
  </sheetViews>
  <sheetFormatPr baseColWidth="10" defaultRowHeight="14.6" x14ac:dyDescent="0.45"/>
  <cols>
    <col min="1" max="1" width="16.85546875" customWidth="1"/>
    <col min="2" max="2" width="12.85546875" customWidth="1"/>
    <col min="3" max="3" width="10.85546875" customWidth="1"/>
    <col min="4" max="4" width="14.85546875" customWidth="1"/>
    <col min="5" max="5" width="34.85546875" customWidth="1"/>
    <col min="6" max="6" width="16.85546875" customWidth="1"/>
    <col min="7" max="7" width="26.85546875" customWidth="1"/>
  </cols>
  <sheetData>
    <row r="1" spans="1:7" ht="15.9" x14ac:dyDescent="0.45">
      <c r="A1" t="s">
        <v>73</v>
      </c>
      <c r="B1" t="s">
        <v>87</v>
      </c>
      <c r="C1" t="s">
        <v>107</v>
      </c>
      <c r="D1" t="s">
        <v>48</v>
      </c>
      <c r="E1" t="s">
        <v>108</v>
      </c>
      <c r="F1" t="s">
        <v>109</v>
      </c>
      <c r="G1" t="s">
        <v>110</v>
      </c>
    </row>
    <row r="2" spans="1:7" ht="15.9" x14ac:dyDescent="0.45">
      <c r="A2" s="1">
        <v>9001</v>
      </c>
      <c r="B2" s="1">
        <v>1</v>
      </c>
      <c r="C2" s="1">
        <v>1</v>
      </c>
      <c r="D2" s="1" t="s">
        <v>149</v>
      </c>
      <c r="E2" s="1">
        <v>0</v>
      </c>
      <c r="F2" s="1" t="s">
        <v>111</v>
      </c>
      <c r="G2" s="1" t="s">
        <v>112</v>
      </c>
    </row>
    <row r="3" spans="1:7" ht="15.9" x14ac:dyDescent="0.45">
      <c r="A3" s="3">
        <v>9001</v>
      </c>
      <c r="B3" s="3">
        <v>2</v>
      </c>
      <c r="C3" s="3">
        <v>1</v>
      </c>
      <c r="D3" s="3" t="s">
        <v>113</v>
      </c>
      <c r="E3" s="3">
        <v>500</v>
      </c>
      <c r="F3" s="3" t="s">
        <v>1</v>
      </c>
      <c r="G3" s="3" t="s">
        <v>112</v>
      </c>
    </row>
    <row r="4" spans="1:7" ht="15.9" x14ac:dyDescent="0.45">
      <c r="A4" s="3">
        <v>9001</v>
      </c>
      <c r="B4" s="3">
        <v>3</v>
      </c>
      <c r="C4" s="3">
        <v>1</v>
      </c>
      <c r="D4" s="3" t="s">
        <v>113</v>
      </c>
      <c r="E4" s="3">
        <v>1000</v>
      </c>
      <c r="F4" s="3" t="s">
        <v>1</v>
      </c>
      <c r="G4" s="3" t="s">
        <v>112</v>
      </c>
    </row>
    <row r="5" spans="1:7" ht="15.9" x14ac:dyDescent="0.45">
      <c r="A5" s="4">
        <v>9002</v>
      </c>
      <c r="B5" s="4">
        <v>1</v>
      </c>
      <c r="C5" s="4">
        <v>1</v>
      </c>
      <c r="D5" s="4" t="s">
        <v>53</v>
      </c>
      <c r="E5" s="4">
        <v>0</v>
      </c>
      <c r="F5" s="4" t="s">
        <v>114</v>
      </c>
      <c r="G5" s="4" t="s">
        <v>115</v>
      </c>
    </row>
    <row r="6" spans="1:7" ht="15.9" x14ac:dyDescent="0.45">
      <c r="A6" s="3">
        <v>9002</v>
      </c>
      <c r="B6" s="3">
        <v>2</v>
      </c>
      <c r="C6" s="3">
        <v>1</v>
      </c>
      <c r="D6" s="3" t="s">
        <v>113</v>
      </c>
      <c r="E6" s="3">
        <v>500</v>
      </c>
      <c r="F6" s="3" t="s">
        <v>1</v>
      </c>
      <c r="G6" s="3" t="s">
        <v>115</v>
      </c>
    </row>
    <row r="7" spans="1:7" ht="15.9" x14ac:dyDescent="0.45">
      <c r="A7" s="3">
        <v>9002</v>
      </c>
      <c r="B7" s="3">
        <v>3</v>
      </c>
      <c r="C7" s="3">
        <v>1</v>
      </c>
      <c r="D7" s="3" t="s">
        <v>113</v>
      </c>
      <c r="E7" s="3">
        <v>1000</v>
      </c>
      <c r="F7" s="3" t="s">
        <v>1</v>
      </c>
      <c r="G7" s="3" t="s">
        <v>115</v>
      </c>
    </row>
    <row r="8" spans="1:7" ht="15.9" x14ac:dyDescent="0.45">
      <c r="A8" s="4">
        <v>9003</v>
      </c>
      <c r="B8" s="4">
        <v>1</v>
      </c>
      <c r="C8" s="4">
        <v>1</v>
      </c>
      <c r="D8" s="4" t="s">
        <v>53</v>
      </c>
      <c r="E8" s="4">
        <v>0</v>
      </c>
      <c r="F8" s="4" t="s">
        <v>116</v>
      </c>
      <c r="G8" s="4" t="s">
        <v>117</v>
      </c>
    </row>
    <row r="9" spans="1:7" ht="15.9" x14ac:dyDescent="0.45">
      <c r="A9" s="4">
        <v>9003</v>
      </c>
      <c r="B9" s="4">
        <v>2</v>
      </c>
      <c r="C9" s="4">
        <v>1</v>
      </c>
      <c r="D9" s="4" t="s">
        <v>53</v>
      </c>
      <c r="E9" s="4">
        <v>500</v>
      </c>
      <c r="F9" s="4" t="s">
        <v>117</v>
      </c>
      <c r="G9" s="4" t="s">
        <v>118</v>
      </c>
    </row>
    <row r="10" spans="1:7" ht="15.9" x14ac:dyDescent="0.45">
      <c r="A10" s="3">
        <v>9003</v>
      </c>
      <c r="B10" s="3">
        <v>3</v>
      </c>
      <c r="C10" s="3">
        <v>1</v>
      </c>
      <c r="D10" s="3" t="s">
        <v>113</v>
      </c>
      <c r="E10" s="3">
        <v>1000</v>
      </c>
      <c r="F10" s="3" t="s">
        <v>1</v>
      </c>
      <c r="G10" s="3" t="s">
        <v>118</v>
      </c>
    </row>
    <row r="11" spans="1:7" ht="15.9" x14ac:dyDescent="0.45">
      <c r="A11">
        <v>9004</v>
      </c>
      <c r="B11">
        <v>1</v>
      </c>
      <c r="C11">
        <v>1</v>
      </c>
      <c r="D11" t="s">
        <v>53</v>
      </c>
      <c r="E11">
        <v>0</v>
      </c>
      <c r="F11" t="s">
        <v>119</v>
      </c>
      <c r="G11" t="s">
        <v>120</v>
      </c>
    </row>
    <row r="12" spans="1:7" ht="15.9" x14ac:dyDescent="0.45">
      <c r="A12">
        <v>9004</v>
      </c>
      <c r="B12">
        <v>2</v>
      </c>
      <c r="C12">
        <v>1</v>
      </c>
      <c r="D12" t="s">
        <v>53</v>
      </c>
      <c r="E12">
        <v>500</v>
      </c>
      <c r="F12" t="s">
        <v>120</v>
      </c>
      <c r="G12" t="s">
        <v>121</v>
      </c>
    </row>
    <row r="13" spans="1:7" ht="15.9" x14ac:dyDescent="0.45">
      <c r="A13">
        <v>9004</v>
      </c>
      <c r="B13">
        <v>3</v>
      </c>
      <c r="C13">
        <v>1</v>
      </c>
      <c r="D13" t="s">
        <v>122</v>
      </c>
      <c r="E13">
        <v>1000</v>
      </c>
      <c r="F13" t="s">
        <v>121</v>
      </c>
      <c r="G13" t="s">
        <v>123</v>
      </c>
    </row>
    <row r="14" spans="1:7" ht="15.9" x14ac:dyDescent="0.45">
      <c r="A14">
        <v>9005</v>
      </c>
      <c r="B14">
        <v>1</v>
      </c>
      <c r="C14">
        <v>1</v>
      </c>
      <c r="D14" t="s">
        <v>68</v>
      </c>
      <c r="E14">
        <v>0</v>
      </c>
      <c r="F14" t="s">
        <v>124</v>
      </c>
      <c r="G14" t="s">
        <v>125</v>
      </c>
    </row>
    <row r="15" spans="1:7" ht="15.9" x14ac:dyDescent="0.45">
      <c r="A15">
        <v>9005</v>
      </c>
      <c r="B15">
        <v>2</v>
      </c>
      <c r="C15">
        <v>1</v>
      </c>
      <c r="D15" t="s">
        <v>84</v>
      </c>
      <c r="E15">
        <v>500</v>
      </c>
      <c r="F15" t="s">
        <v>1</v>
      </c>
      <c r="G15" t="s">
        <v>1</v>
      </c>
    </row>
    <row r="16" spans="1:7" ht="15.9" x14ac:dyDescent="0.45">
      <c r="A16">
        <v>9005</v>
      </c>
      <c r="B16">
        <v>3</v>
      </c>
      <c r="C16">
        <v>1</v>
      </c>
      <c r="D16" t="s">
        <v>84</v>
      </c>
      <c r="E16">
        <v>1000</v>
      </c>
      <c r="F16" t="s">
        <v>1</v>
      </c>
      <c r="G16" t="s">
        <v>1</v>
      </c>
    </row>
    <row r="17" spans="1:7" ht="15.9" x14ac:dyDescent="0.45">
      <c r="A17">
        <v>9006</v>
      </c>
      <c r="B17">
        <v>1</v>
      </c>
      <c r="C17">
        <v>1</v>
      </c>
      <c r="D17" t="s">
        <v>53</v>
      </c>
      <c r="E17">
        <v>0</v>
      </c>
      <c r="F17" t="s">
        <v>126</v>
      </c>
      <c r="G17" t="s">
        <v>127</v>
      </c>
    </row>
    <row r="18" spans="1:7" ht="15.9" x14ac:dyDescent="0.45">
      <c r="A18">
        <v>9006</v>
      </c>
      <c r="B18">
        <v>2</v>
      </c>
      <c r="C18">
        <v>1</v>
      </c>
      <c r="D18" t="s">
        <v>113</v>
      </c>
      <c r="E18" t="s">
        <v>128</v>
      </c>
      <c r="F18" t="s">
        <v>1</v>
      </c>
      <c r="G18" t="s">
        <v>127</v>
      </c>
    </row>
    <row r="19" spans="1:7" ht="15.9" x14ac:dyDescent="0.45">
      <c r="A19">
        <v>9006</v>
      </c>
      <c r="B19">
        <v>3</v>
      </c>
      <c r="C19">
        <v>1</v>
      </c>
      <c r="D19" t="s">
        <v>113</v>
      </c>
      <c r="E19">
        <v>1000</v>
      </c>
      <c r="F19" t="s">
        <v>1</v>
      </c>
      <c r="G19" t="s">
        <v>127</v>
      </c>
    </row>
  </sheetData>
  <pageMargins left="0.7" right="0.7" top="0.75" bottom="0.75" header="0.3" footer="0.3"/>
  <ignoredErrors>
    <ignoredError sqref="A1:G1 A3:G19 A2:C2 E2:G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>
      <selection activeCell="F9" sqref="F9"/>
    </sheetView>
  </sheetViews>
  <sheetFormatPr baseColWidth="10" defaultRowHeight="14.6" x14ac:dyDescent="0.45"/>
  <cols>
    <col min="1" max="1" width="16.85546875" customWidth="1"/>
    <col min="2" max="2" width="12.85546875" customWidth="1"/>
    <col min="3" max="3" width="10.85546875" customWidth="1"/>
    <col min="4" max="4" width="30.85546875" customWidth="1"/>
    <col min="5" max="5" width="22.85546875" customWidth="1"/>
    <col min="6" max="6" width="16.85546875" customWidth="1"/>
    <col min="7" max="7" width="14.85546875" customWidth="1"/>
    <col min="8" max="9" width="16.85546875" customWidth="1"/>
    <col min="10" max="10" width="42.85546875" customWidth="1"/>
  </cols>
  <sheetData>
    <row r="1" spans="1:10" ht="15.9" x14ac:dyDescent="0.45">
      <c r="A1" t="s">
        <v>73</v>
      </c>
      <c r="B1" t="s">
        <v>87</v>
      </c>
      <c r="C1" t="s">
        <v>107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 spans="1:10" ht="15.9" x14ac:dyDescent="0.45">
      <c r="A2">
        <v>9001</v>
      </c>
      <c r="B2">
        <v>1</v>
      </c>
      <c r="C2">
        <v>1</v>
      </c>
      <c r="D2" t="s">
        <v>136</v>
      </c>
      <c r="E2" t="s">
        <v>137</v>
      </c>
      <c r="F2" t="s">
        <v>97</v>
      </c>
      <c r="G2" t="s">
        <v>112</v>
      </c>
      <c r="H2">
        <v>300</v>
      </c>
      <c r="I2">
        <v>300</v>
      </c>
      <c r="J2" t="s">
        <v>1</v>
      </c>
    </row>
    <row r="3" spans="1:10" ht="15.9" x14ac:dyDescent="0.45">
      <c r="A3">
        <v>9002</v>
      </c>
      <c r="B3">
        <v>1</v>
      </c>
      <c r="C3">
        <v>1</v>
      </c>
      <c r="D3" t="s">
        <v>136</v>
      </c>
      <c r="E3" t="s">
        <v>137</v>
      </c>
      <c r="F3" t="s">
        <v>97</v>
      </c>
      <c r="G3" t="s">
        <v>115</v>
      </c>
      <c r="H3">
        <v>650</v>
      </c>
      <c r="I3">
        <v>420</v>
      </c>
      <c r="J3" t="s">
        <v>1</v>
      </c>
    </row>
    <row r="4" spans="1:10" ht="15.9" x14ac:dyDescent="0.45">
      <c r="A4">
        <v>9003</v>
      </c>
      <c r="B4" s="4">
        <v>1</v>
      </c>
      <c r="C4">
        <v>1</v>
      </c>
      <c r="D4" t="s">
        <v>136</v>
      </c>
      <c r="E4" t="s">
        <v>137</v>
      </c>
      <c r="F4" t="s">
        <v>97</v>
      </c>
      <c r="G4" t="s">
        <v>117</v>
      </c>
      <c r="H4">
        <v>800</v>
      </c>
      <c r="I4">
        <v>800</v>
      </c>
      <c r="J4" t="s">
        <v>1</v>
      </c>
    </row>
    <row r="5" spans="1:10" ht="15.9" x14ac:dyDescent="0.45">
      <c r="A5">
        <v>9003</v>
      </c>
      <c r="B5" s="4">
        <v>2</v>
      </c>
      <c r="C5">
        <v>1</v>
      </c>
      <c r="D5" t="s">
        <v>136</v>
      </c>
      <c r="E5" t="s">
        <v>138</v>
      </c>
      <c r="F5" t="s">
        <v>101</v>
      </c>
      <c r="G5" t="s">
        <v>118</v>
      </c>
      <c r="H5">
        <v>800</v>
      </c>
      <c r="I5">
        <v>800</v>
      </c>
      <c r="J5" t="s">
        <v>1</v>
      </c>
    </row>
    <row r="6" spans="1:10" ht="15.9" x14ac:dyDescent="0.45">
      <c r="A6" s="4">
        <v>9004</v>
      </c>
      <c r="B6" s="4">
        <v>1</v>
      </c>
      <c r="C6" s="4">
        <v>1</v>
      </c>
      <c r="D6" s="4" t="s">
        <v>136</v>
      </c>
      <c r="E6" s="4" t="s">
        <v>137</v>
      </c>
      <c r="F6" s="4" t="s">
        <v>97</v>
      </c>
      <c r="G6" s="4" t="s">
        <v>120</v>
      </c>
      <c r="H6" s="4">
        <v>1500</v>
      </c>
      <c r="I6" s="4">
        <v>1500</v>
      </c>
      <c r="J6" t="s">
        <v>1</v>
      </c>
    </row>
    <row r="7" spans="1:10" ht="15.9" x14ac:dyDescent="0.45">
      <c r="A7" s="4">
        <v>9004</v>
      </c>
      <c r="B7" s="4">
        <v>2</v>
      </c>
      <c r="C7" s="4">
        <v>1</v>
      </c>
      <c r="D7" s="4" t="s">
        <v>136</v>
      </c>
      <c r="E7" s="4" t="s">
        <v>138</v>
      </c>
      <c r="F7" s="4" t="s">
        <v>101</v>
      </c>
      <c r="G7" s="4" t="s">
        <v>121</v>
      </c>
      <c r="H7" s="4">
        <v>1500</v>
      </c>
      <c r="I7" s="4">
        <v>1500</v>
      </c>
      <c r="J7" t="s">
        <v>1</v>
      </c>
    </row>
    <row r="8" spans="1:10" ht="15.9" x14ac:dyDescent="0.45">
      <c r="A8" s="2">
        <v>9004</v>
      </c>
      <c r="B8" s="2">
        <v>3</v>
      </c>
      <c r="C8" s="2">
        <v>1</v>
      </c>
      <c r="D8" s="2" t="s">
        <v>139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t="s">
        <v>1</v>
      </c>
    </row>
    <row r="9" spans="1:10" ht="15.9" x14ac:dyDescent="0.45">
      <c r="A9" s="1">
        <v>9005</v>
      </c>
      <c r="B9" s="1">
        <v>1</v>
      </c>
      <c r="C9" s="1">
        <v>1</v>
      </c>
      <c r="D9" s="1" t="s">
        <v>140</v>
      </c>
      <c r="E9" s="1" t="s">
        <v>137</v>
      </c>
      <c r="F9" s="1" t="s">
        <v>97</v>
      </c>
      <c r="G9" s="1" t="s">
        <v>125</v>
      </c>
      <c r="H9" s="1" t="s">
        <v>1</v>
      </c>
      <c r="I9" s="1" t="s">
        <v>1</v>
      </c>
      <c r="J9" t="s">
        <v>141</v>
      </c>
    </row>
    <row r="10" spans="1:10" ht="15.9" x14ac:dyDescent="0.45">
      <c r="A10">
        <v>9006</v>
      </c>
      <c r="B10">
        <v>1</v>
      </c>
      <c r="C10">
        <v>1</v>
      </c>
      <c r="D10" t="s">
        <v>136</v>
      </c>
      <c r="E10" t="s">
        <v>137</v>
      </c>
      <c r="F10" t="s">
        <v>97</v>
      </c>
      <c r="G10" t="s">
        <v>127</v>
      </c>
      <c r="H10">
        <v>650</v>
      </c>
      <c r="I10">
        <v>650</v>
      </c>
      <c r="J10" t="s">
        <v>1</v>
      </c>
    </row>
  </sheetData>
  <pageMargins left="0.7" right="0.7" top="0.75" bottom="0.75" header="0.3" footer="0.3"/>
  <ignoredErrors>
    <ignoredError sqref="A1:J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E3" sqref="E3"/>
    </sheetView>
  </sheetViews>
  <sheetFormatPr baseColWidth="10" defaultRowHeight="14.6" x14ac:dyDescent="0.45"/>
  <cols>
    <col min="1" max="1" width="30.85546875" customWidth="1"/>
    <col min="2" max="2" width="32.85546875" customWidth="1"/>
    <col min="3" max="3" width="14.85546875" customWidth="1"/>
    <col min="4" max="4" width="12.85546875" customWidth="1"/>
    <col min="5" max="5" width="48.85546875" customWidth="1"/>
  </cols>
  <sheetData>
    <row r="1" spans="1:5" ht="15.9" x14ac:dyDescent="0.45">
      <c r="A1" t="s">
        <v>142</v>
      </c>
      <c r="B1" t="s">
        <v>74</v>
      </c>
      <c r="C1" t="s">
        <v>76</v>
      </c>
      <c r="D1" t="s">
        <v>77</v>
      </c>
      <c r="E1" t="s">
        <v>135</v>
      </c>
    </row>
    <row r="2" spans="1:5" ht="15.9" x14ac:dyDescent="0.45">
      <c r="A2" t="s">
        <v>143</v>
      </c>
      <c r="B2" t="s">
        <v>78</v>
      </c>
      <c r="C2" t="s">
        <v>53</v>
      </c>
      <c r="D2">
        <v>300</v>
      </c>
      <c r="E2" t="s">
        <v>1</v>
      </c>
    </row>
    <row r="3" spans="1:5" ht="15.9" x14ac:dyDescent="0.45">
      <c r="A3" t="s">
        <v>144</v>
      </c>
      <c r="B3" t="s">
        <v>79</v>
      </c>
      <c r="C3" t="s">
        <v>53</v>
      </c>
      <c r="D3">
        <v>300</v>
      </c>
      <c r="E3" t="s">
        <v>1</v>
      </c>
    </row>
    <row r="4" spans="1:5" ht="15.9" x14ac:dyDescent="0.45">
      <c r="A4" t="s">
        <v>144</v>
      </c>
      <c r="B4" t="s">
        <v>80</v>
      </c>
      <c r="C4" t="s">
        <v>53</v>
      </c>
      <c r="D4">
        <v>120</v>
      </c>
      <c r="E4" t="s">
        <v>145</v>
      </c>
    </row>
    <row r="5" spans="1:5" ht="15.9" x14ac:dyDescent="0.45">
      <c r="A5" t="s">
        <v>146</v>
      </c>
      <c r="B5" t="s">
        <v>81</v>
      </c>
      <c r="C5" t="s">
        <v>53</v>
      </c>
      <c r="D5">
        <v>800</v>
      </c>
      <c r="E5" t="s">
        <v>1</v>
      </c>
    </row>
    <row r="6" spans="1:5" ht="15.9" x14ac:dyDescent="0.45">
      <c r="A6" t="s">
        <v>147</v>
      </c>
      <c r="B6" t="s">
        <v>81</v>
      </c>
      <c r="C6" t="s">
        <v>53</v>
      </c>
      <c r="D6">
        <v>800</v>
      </c>
      <c r="E6" t="s">
        <v>148</v>
      </c>
    </row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0_Léeme</vt:lpstr>
      <vt:lpstr>1_refund_orders</vt:lpstr>
      <vt:lpstr>2_refund_order_details</vt:lpstr>
      <vt:lpstr>3_refund_approval_levels</vt:lpstr>
      <vt:lpstr>4_niveles_por_devolucion</vt:lpstr>
      <vt:lpstr>5_refund_workflow_actions</vt:lpstr>
      <vt:lpstr>6_refund_order_detail_decisions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Olivio Subelza Cabezas</cp:lastModifiedBy>
  <dcterms:modified xsi:type="dcterms:W3CDTF">2026-08-26T21:13:34Z</dcterms:modified>
</cp:coreProperties>
</file>